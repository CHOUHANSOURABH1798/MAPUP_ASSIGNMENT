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V ANALYTICS\MY INTERVIEW Q\MAPUP ASSIGNMENT\"/>
    </mc:Choice>
  </mc:AlternateContent>
  <xr:revisionPtr revIDLastSave="0" documentId="8_{B07CE1C1-B15C-40FB-9B82-B643FB6B181B}" xr6:coauthVersionLast="47" xr6:coauthVersionMax="47" xr10:uidLastSave="{00000000-0000-0000-0000-000000000000}"/>
  <bookViews>
    <workbookView xWindow="-110" yWindow="-110" windowWidth="19420" windowHeight="10300" tabRatio="849" activeTab="7" xr2:uid="{00000000-000D-0000-FFFF-FFFF00000000}"/>
  </bookViews>
  <sheets>
    <sheet name="Instructions" sheetId="22" r:id="rId1"/>
    <sheet name="Dataset" sheetId="1" r:id="rId2"/>
    <sheet name="Task_1" sheetId="15" r:id="rId3"/>
    <sheet name="TASK1 ANS" sheetId="23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G23" i="20"/>
  <c r="F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C22" i="19"/>
  <c r="D12" i="19"/>
  <c r="D13" i="19"/>
  <c r="D14" i="19"/>
  <c r="D15" i="19"/>
  <c r="D16" i="19"/>
  <c r="D17" i="19"/>
  <c r="D18" i="19"/>
  <c r="D19" i="19"/>
  <c r="D20" i="19"/>
  <c r="D21" i="19"/>
  <c r="C30" i="18"/>
  <c r="D30" i="18"/>
  <c r="E30" i="18"/>
  <c r="F30" i="18"/>
  <c r="C29" i="18"/>
  <c r="D29" i="18"/>
  <c r="E29" i="18"/>
  <c r="F29" i="18"/>
  <c r="B29" i="18"/>
  <c r="B30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</calcChain>
</file>

<file path=xl/sharedStrings.xml><?xml version="1.0" encoding="utf-8"?>
<sst xmlns="http://schemas.openxmlformats.org/spreadsheetml/2006/main" count="549" uniqueCount="184">
  <si>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</si>
  <si>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</si>
  <si>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</si>
  <si>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</si>
  <si>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</si>
  <si>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</si>
  <si>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</si>
  <si>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</si>
  <si>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</si>
  <si>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</si>
  <si>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</si>
  <si>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</si>
  <si>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</si>
  <si>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</si>
  <si>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</si>
  <si>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</si>
  <si>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</si>
  <si>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</si>
  <si>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</si>
  <si>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</si>
  <si>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</si>
  <si>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</si>
  <si>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</si>
  <si>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</si>
  <si>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</si>
  <si>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</si>
  <si>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</si>
  <si>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</si>
  <si>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</si>
  <si>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</si>
  <si>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</si>
  <si>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</si>
  <si>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</si>
  <si>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</si>
  <si>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</si>
  <si>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</si>
  <si>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</si>
  <si>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</si>
  <si>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</si>
  <si>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</si>
  <si>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</si>
  <si>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</si>
  <si>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</si>
  <si>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</si>
  <si>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</si>
  <si>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</si>
  <si>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</si>
  <si>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</si>
  <si>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</si>
  <si>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</si>
  <si>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</si>
  <si>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</si>
  <si>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</si>
  <si>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</si>
  <si>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</si>
  <si>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</si>
  <si>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</si>
  <si>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</si>
  <si>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</si>
  <si>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</si>
  <si>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</si>
  <si>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</si>
  <si>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</si>
  <si>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</si>
  <si>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</si>
  <si>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</si>
  <si>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</si>
  <si>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</si>
  <si>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</si>
  <si>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</si>
  <si>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</si>
  <si>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</si>
  <si>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</si>
  <si>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</si>
  <si>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</si>
  <si>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</si>
  <si>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</si>
  <si>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</si>
  <si>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</si>
  <si>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</si>
  <si>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</si>
  <si>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</si>
  <si>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</si>
  <si>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</si>
  <si>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</si>
  <si>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</si>
  <si>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</si>
  <si>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</si>
  <si>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</si>
  <si>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</si>
  <si>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</si>
  <si>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</si>
  <si>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</si>
  <si>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</si>
  <si>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</si>
  <si>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</si>
  <si>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</si>
  <si>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</si>
  <si>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</si>
  <si>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</si>
  <si>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</si>
  <si>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</si>
  <si>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</si>
  <si>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</si>
  <si>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</si>
  <si>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</si>
  <si>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</si>
  <si>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</si>
  <si>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</si>
  <si>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</si>
  <si>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</si>
  <si>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</si>
  <si>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</si>
  <si>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</si>
  <si>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</si>
  <si>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</si>
  <si>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</si>
  <si>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</si>
  <si>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</si>
  <si>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</si>
  <si>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</si>
  <si>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</si>
  <si>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</si>
  <si>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</si>
  <si>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</si>
  <si>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</si>
  <si>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</si>
  <si>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</si>
  <si>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</si>
  <si>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</si>
  <si>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</si>
  <si>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</si>
  <si>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</si>
  <si>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</si>
  <si>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</si>
  <si>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</si>
  <si>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</si>
  <si>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</si>
  <si>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</si>
  <si>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</si>
  <si>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</si>
  <si>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</si>
  <si>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</si>
  <si>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</si>
  <si>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</si>
  <si>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</si>
  <si>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</si>
  <si>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</si>
  <si>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</si>
  <si>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</si>
  <si>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</si>
  <si>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</si>
  <si>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</si>
  <si>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</si>
  <si>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</si>
  <si>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</si>
  <si>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</si>
  <si>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</si>
  <si>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</si>
  <si>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</si>
  <si>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</si>
  <si>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</si>
  <si>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</si>
  <si>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</si>
  <si>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</si>
  <si>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</si>
  <si>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</si>
  <si>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</si>
  <si>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</si>
  <si>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</si>
  <si>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</si>
  <si>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</si>
  <si>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</si>
  <si>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</si>
  <si>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</si>
  <si>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</si>
  <si>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</si>
  <si>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SUMIF('SOULTION T1 AND T2'!H:H,"&gt;20")</t>
  </si>
  <si>
    <t>I WILL FIRST COPY VALUES INTO COL_1 THEN I WILL USE TEXT TO COLUMN ANS SPLIT USING DELIMITER "-"</t>
  </si>
  <si>
    <t>IF(ISNA(C12),20,C12)</t>
  </si>
  <si>
    <t>SUM(D12:D21)</t>
  </si>
  <si>
    <t>FIRST I WILL REPLACE ALL #N/A WITH 20 USING IF FUNCTION WITH ISNA FUNCTION THEN I WILL USE SUM FUCNTION TO CALCULATE SUM</t>
  </si>
  <si>
    <t>INDEX($A$9:$J$18,MATCH(VLOOKUP(A23,$M$9:$N$18,2,0),$A$9:$A$18,0),MATCH(VLOOKUP(B23,$M$9:$N$18,2,0),$A$9:$J$9,0))</t>
  </si>
  <si>
    <t>I USE VLOOKUP FUNCTION TO FIND VALUE FOR ID THEN I USE THAT VALUE WITH MATCH FUNCTION TO FIND ROW AND COLUMN INDEX THEN I USE THIS ROW NUM AND COLUMN NUM INTO INDEX FUNCTION TO GET RIGHT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</si>
</sst>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166" fontId="0" fillId="0" borderId="0" xfId="0" applyNumberFormat="1"/>
    <xf numFmtId="0" fontId="3" fillId="5" borderId="0" xfId="0" applyFont="1" applyFill="1" applyAlignment="1">
      <alignment horizontal="center" wrapText="1"/>
    </xf>
    <xf numFmtId="0" fontId="3" fillId="5" borderId="0" xfId="0" applyFont="1" applyFill="1" applyAlignment="1">
      <alignment horizontal="center"/>
    </xf>
    <xf numFmtId="0" fontId="8" fillId="5" borderId="12" xfId="0" applyFont="1" applyFill="1" applyBorder="1"/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7"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O1" zoomScaleNormal="100" workbookViewId="0">
      <selection activeCell="P11" sqref="P1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35.6992187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219D2-48CC-4302-91ED-2F067ADF2207}">
  <sheetPr>
    <tabColor rgb="FF00B050"/>
  </sheetPr>
  <dimension ref="A1:X40"/>
  <sheetViews>
    <sheetView topLeftCell="N1" workbookViewId="0">
      <pane ySplit="1" topLeftCell="A2" activePane="bottomLeft" state="frozen"/>
      <selection pane="bottomLeft" activeCell="X1" sqref="X1:X1048576"/>
    </sheetView>
  </sheetViews>
  <sheetFormatPr defaultRowHeight="13" x14ac:dyDescent="0.3"/>
  <cols>
    <col min="24" max="24" width="11.09765625" style="46" bestFit="1" customWidth="1"/>
  </cols>
  <sheetData>
    <row r="1" spans="1:24" ht="14.5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ht="14.5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ht="14.5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ht="14.5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ht="14.5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ht="14.5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ht="14.5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ht="14.5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ht="14.5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ht="14.5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ht="14.5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ht="14.5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ht="14.5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ht="14.5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ht="14.5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ht="14.5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ht="14.5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ht="14.5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ht="14.5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ht="14.5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ht="14.5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ht="14.5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ht="14.5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ht="14.5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ht="14.5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ht="14.5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ht="14.5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ht="14.5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ht="14.5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ht="14.5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ht="14.5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ht="14.5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ht="14.5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ht="14.5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ht="14.5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ht="14.5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ht="14.5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ht="14.5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ht="14.5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ht="14.5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40">
    <cfRule type="duplicateValues" dxfId="3" priority="4"/>
  </conditionalFormatting>
  <conditionalFormatting sqref="B1:B40">
    <cfRule type="duplicateValues" dxfId="2" priority="3"/>
  </conditionalFormatting>
  <conditionalFormatting sqref="G1:W40">
    <cfRule type="cellIs" dxfId="1" priority="1" operator="equal">
      <formula>-1</formula>
    </cfRule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sheetPr>
    <tabColor rgb="FF00B050"/>
  </sheetPr>
  <dimension ref="A1:G30"/>
  <sheetViews>
    <sheetView topLeftCell="A35"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VLOOKUP($A6,Dataset!$A:$X,MATCH(B$5,Dataset!$A$1:$X$1,0),0)</f>
        <v>2.7</v>
      </c>
      <c r="C6" s="11">
        <f>VLOOKUP($A6,Dataset!$A:$X,MATCH(C$5,Dataset!$A$1:$X$1,0),0)</f>
        <v>7.6</v>
      </c>
      <c r="D6" s="11">
        <f>VLOOKUP($A6,Dataset!$A:$X,MATCH(D$5,Dataset!$A$1:$X$1,0),0)</f>
        <v>4.2</v>
      </c>
      <c r="E6" s="11">
        <f>VLOOKUP($A6,Dataset!$A:$X,MATCH(E$5,Dataset!$A$1:$X$1,0),0)</f>
        <v>8.9</v>
      </c>
      <c r="F6" s="11">
        <f>VLOOKUP($A6,Dataset!$A:$X,MATCH(F$5,Dataset!$A$1:$X$1,0),0)</f>
        <v>4.2</v>
      </c>
    </row>
    <row r="7" spans="1:7" ht="14.5" x14ac:dyDescent="0.35">
      <c r="A7" s="7" t="s">
        <v>4</v>
      </c>
      <c r="B7" s="11">
        <f>VLOOKUP($A7,Dataset!$A:$X,MATCH(B$5,Dataset!$A$1:$X$1,0),0)</f>
        <v>2.7</v>
      </c>
      <c r="C7" s="11">
        <f>VLOOKUP($A7,Dataset!$A:$X,MATCH(C$5,Dataset!$A$1:$X$1,0),0)</f>
        <v>7.6</v>
      </c>
      <c r="D7" s="11">
        <f>VLOOKUP($A7,Dataset!$A:$X,MATCH(D$5,Dataset!$A$1:$X$1,0),0)</f>
        <v>4.2</v>
      </c>
      <c r="E7" s="11">
        <f>VLOOKUP($A7,Dataset!$A:$X,MATCH(E$5,Dataset!$A$1:$X$1,0),0)</f>
        <v>8.9</v>
      </c>
      <c r="F7" s="11">
        <f>VLOOKUP($A7,Dataset!$A:$X,MATCH(F$5,Dataset!$A$1:$X$1,0),0)</f>
        <v>4.2</v>
      </c>
    </row>
    <row r="8" spans="1:7" ht="14.5" x14ac:dyDescent="0.35">
      <c r="A8" s="7" t="s">
        <v>7</v>
      </c>
      <c r="B8" s="11">
        <f>VLOOKUP($A8,Dataset!$A:$X,MATCH(B$5,Dataset!$A$1:$X$1,0),0)</f>
        <v>3.6</v>
      </c>
      <c r="C8" s="11">
        <f>VLOOKUP($A8,Dataset!$A:$X,MATCH(C$5,Dataset!$A$1:$X$1,0),0)</f>
        <v>11.1</v>
      </c>
      <c r="D8" s="11">
        <f>VLOOKUP($A8,Dataset!$A:$X,MATCH(D$5,Dataset!$A$1:$X$1,0),0)</f>
        <v>5.8</v>
      </c>
      <c r="E8" s="11">
        <f>VLOOKUP($A8,Dataset!$A:$X,MATCH(E$5,Dataset!$A$1:$X$1,0),0)</f>
        <v>12.2</v>
      </c>
      <c r="F8" s="11">
        <f>VLOOKUP($A8,Dataset!$A:$X,MATCH(F$5,Dataset!$A$1:$X$1,0),0)</f>
        <v>5.8</v>
      </c>
    </row>
    <row r="9" spans="1:7" ht="14.5" x14ac:dyDescent="0.35">
      <c r="A9" s="7" t="s">
        <v>8</v>
      </c>
      <c r="B9" s="11">
        <f>VLOOKUP($A9,Dataset!$A:$X,MATCH(B$5,Dataset!$A$1:$X$1,0),0)</f>
        <v>4.9000000000000004</v>
      </c>
      <c r="C9" s="11">
        <f>VLOOKUP($A9,Dataset!$A:$X,MATCH(C$5,Dataset!$A$1:$X$1,0),0)</f>
        <v>13.3</v>
      </c>
      <c r="D9" s="11">
        <f>VLOOKUP($A9,Dataset!$A:$X,MATCH(D$5,Dataset!$A$1:$X$1,0),0)</f>
        <v>8.1</v>
      </c>
      <c r="E9" s="11">
        <f>VLOOKUP($A9,Dataset!$A:$X,MATCH(E$5,Dataset!$A$1:$X$1,0),0)</f>
        <v>17</v>
      </c>
      <c r="F9" s="11">
        <f>VLOOKUP($A9,Dataset!$A:$X,MATCH(F$5,Dataset!$A$1:$X$1,0),0)</f>
        <v>8.1</v>
      </c>
    </row>
    <row r="10" spans="1:7" ht="14.5" x14ac:dyDescent="0.35">
      <c r="A10" s="7" t="s">
        <v>11</v>
      </c>
      <c r="B10" s="11">
        <f>VLOOKUP($A10,Dataset!$A:$X,MATCH(B$5,Dataset!$A$1:$X$1,0),0)</f>
        <v>9.4</v>
      </c>
      <c r="C10" s="11">
        <f>VLOOKUP($A10,Dataset!$A:$X,MATCH(C$5,Dataset!$A$1:$X$1,0),0)</f>
        <v>28.3</v>
      </c>
      <c r="D10" s="11">
        <f>VLOOKUP($A10,Dataset!$A:$X,MATCH(D$5,Dataset!$A$1:$X$1,0),0)</f>
        <v>16.100000000000001</v>
      </c>
      <c r="E10" s="11">
        <f>VLOOKUP($A10,Dataset!$A:$X,MATCH(E$5,Dataset!$A$1:$X$1,0),0)</f>
        <v>32.799999999999997</v>
      </c>
      <c r="F10" s="11">
        <f>VLOOKUP($A10,Dataset!$A:$X,MATCH(F$5,Dataset!$A$1:$X$1,0),0)</f>
        <v>16.100000000000001</v>
      </c>
    </row>
    <row r="11" spans="1:7" ht="14.5" x14ac:dyDescent="0.35">
      <c r="A11" s="7" t="s">
        <v>12</v>
      </c>
      <c r="B11" s="11">
        <f>VLOOKUP($A11,Dataset!$A:$X,MATCH(B$5,Dataset!$A$1:$X$1,0),0)</f>
        <v>11.6</v>
      </c>
      <c r="C11" s="11">
        <f>VLOOKUP($A11,Dataset!$A:$X,MATCH(C$5,Dataset!$A$1:$X$1,0),0)</f>
        <v>35.200000000000003</v>
      </c>
      <c r="D11" s="11">
        <f>VLOOKUP($A11,Dataset!$A:$X,MATCH(D$5,Dataset!$A$1:$X$1,0),0)</f>
        <v>21.3</v>
      </c>
      <c r="E11" s="11">
        <f>VLOOKUP($A11,Dataset!$A:$X,MATCH(E$5,Dataset!$A$1:$X$1,0),0)</f>
        <v>43</v>
      </c>
      <c r="F11" s="11">
        <f>VLOOKUP($A11,Dataset!$A:$X,MATCH(F$5,Dataset!$A$1:$X$1,0),0)</f>
        <v>21.3</v>
      </c>
    </row>
    <row r="12" spans="1:7" ht="14.5" x14ac:dyDescent="0.35">
      <c r="A12" s="7" t="s">
        <v>14</v>
      </c>
      <c r="B12" s="11">
        <f>VLOOKUP($A12,Dataset!$A:$X,MATCH(B$5,Dataset!$A$1:$X$1,0),0)</f>
        <v>18.399999999999999</v>
      </c>
      <c r="C12" s="11">
        <f>VLOOKUP($A12,Dataset!$A:$X,MATCH(C$5,Dataset!$A$1:$X$1,0),0)</f>
        <v>55.6</v>
      </c>
      <c r="D12" s="11">
        <f>VLOOKUP($A12,Dataset!$A:$X,MATCH(D$5,Dataset!$A$1:$X$1,0),0)</f>
        <v>33.799999999999997</v>
      </c>
      <c r="E12" s="11">
        <f>VLOOKUP($A12,Dataset!$A:$X,MATCH(E$5,Dataset!$A$1:$X$1,0),0)</f>
        <v>67.900000000000006</v>
      </c>
      <c r="F12" s="11">
        <f>VLOOKUP($A12,Dataset!$A:$X,MATCH(F$5,Dataset!$A$1:$X$1,0),0)</f>
        <v>33.799999999999997</v>
      </c>
    </row>
    <row r="13" spans="1:7" ht="14.5" x14ac:dyDescent="0.35">
      <c r="A13" s="7" t="s">
        <v>15</v>
      </c>
      <c r="B13" s="11">
        <f>VLOOKUP($A13,Dataset!$A:$X,MATCH(B$5,Dataset!$A$1:$X$1,0),0)</f>
        <v>0</v>
      </c>
      <c r="C13" s="11">
        <f>VLOOKUP($A13,Dataset!$A:$X,MATCH(C$5,Dataset!$A$1:$X$1,0),0)</f>
        <v>0</v>
      </c>
      <c r="D13" s="11">
        <f>VLOOKUP($A13,Dataset!$A:$X,MATCH(D$5,Dataset!$A$1:$X$1,0),0)</f>
        <v>0</v>
      </c>
      <c r="E13" s="11">
        <f>VLOOKUP($A13,Dataset!$A:$X,MATCH(E$5,Dataset!$A$1:$X$1,0),0)</f>
        <v>0</v>
      </c>
      <c r="F13" s="11">
        <f>VLOOKUP($A13,Dataset!$A:$X,MATCH(F$5,Dataset!$A$1:$X$1,0),0)</f>
        <v>0</v>
      </c>
    </row>
    <row r="14" spans="1:7" ht="14.5" x14ac:dyDescent="0.35">
      <c r="A14" s="7" t="s">
        <v>16</v>
      </c>
      <c r="B14" s="11">
        <f>VLOOKUP($A14,Dataset!$A:$X,MATCH(B$5,Dataset!$A$1:$X$1,0),0)</f>
        <v>21.9</v>
      </c>
      <c r="C14" s="11">
        <f>VLOOKUP($A14,Dataset!$A:$X,MATCH(C$5,Dataset!$A$1:$X$1,0),0)</f>
        <v>61.5</v>
      </c>
      <c r="D14" s="11">
        <f>VLOOKUP($A14,Dataset!$A:$X,MATCH(D$5,Dataset!$A$1:$X$1,0),0)</f>
        <v>40.1</v>
      </c>
      <c r="E14" s="11">
        <f>VLOOKUP($A14,Dataset!$A:$X,MATCH(E$5,Dataset!$A$1:$X$1,0),0)</f>
        <v>76.599999999999994</v>
      </c>
      <c r="F14" s="11">
        <f>VLOOKUP($A14,Dataset!$A:$X,MATCH(F$5,Dataset!$A$1:$X$1,0),0)</f>
        <v>40.1</v>
      </c>
    </row>
    <row r="15" spans="1:7" ht="14.5" x14ac:dyDescent="0.35">
      <c r="A15" s="7" t="s">
        <v>18</v>
      </c>
      <c r="B15" s="11">
        <f>VLOOKUP($A15,Dataset!$A:$X,MATCH(B$5,Dataset!$A$1:$X$1,0),0)</f>
        <v>26.8</v>
      </c>
      <c r="C15" s="11">
        <f>VLOOKUP($A15,Dataset!$A:$X,MATCH(C$5,Dataset!$A$1:$X$1,0),0)</f>
        <v>79.599999999999994</v>
      </c>
      <c r="D15" s="11">
        <f>VLOOKUP($A15,Dataset!$A:$X,MATCH(D$5,Dataset!$A$1:$X$1,0),0)</f>
        <v>47.9</v>
      </c>
      <c r="E15" s="11">
        <f>VLOOKUP($A15,Dataset!$A:$X,MATCH(E$5,Dataset!$A$1:$X$1,0),0)</f>
        <v>96.8</v>
      </c>
      <c r="F15" s="11">
        <f>VLOOKUP($A15,Dataset!$A:$X,MATCH(F$5,Dataset!$A$1:$X$1,0),0)</f>
        <v>47.9</v>
      </c>
    </row>
    <row r="16" spans="1:7" ht="14.5" x14ac:dyDescent="0.35">
      <c r="A16" s="7" t="s">
        <v>20</v>
      </c>
      <c r="B16" s="11">
        <f>VLOOKUP($A16,Dataset!$A:$X,MATCH(B$5,Dataset!$A$1:$X$1,0),0)</f>
        <v>28.5</v>
      </c>
      <c r="C16" s="11">
        <f>VLOOKUP($A16,Dataset!$A:$X,MATCH(C$5,Dataset!$A$1:$X$1,0),0)</f>
        <v>85.4</v>
      </c>
      <c r="D16" s="11">
        <f>VLOOKUP($A16,Dataset!$A:$X,MATCH(D$5,Dataset!$A$1:$X$1,0),0)</f>
        <v>52.3</v>
      </c>
      <c r="E16" s="11">
        <f>VLOOKUP($A16,Dataset!$A:$X,MATCH(E$5,Dataset!$A$1:$X$1,0),0)</f>
        <v>106.1</v>
      </c>
      <c r="F16" s="11">
        <f>VLOOKUP($A16,Dataset!$A:$X,MATCH(F$5,Dataset!$A$1:$X$1,0),0)</f>
        <v>52.3</v>
      </c>
    </row>
    <row r="17" spans="1:6" ht="14.5" x14ac:dyDescent="0.35">
      <c r="A17" s="7" t="s">
        <v>22</v>
      </c>
      <c r="B17" s="11">
        <f>VLOOKUP($A17,Dataset!$A:$X,MATCH(B$5,Dataset!$A$1:$X$1,0),0)</f>
        <v>30.7</v>
      </c>
      <c r="C17" s="11">
        <f>VLOOKUP($A17,Dataset!$A:$X,MATCH(C$5,Dataset!$A$1:$X$1,0),0)</f>
        <v>92.1</v>
      </c>
      <c r="D17" s="11">
        <f>VLOOKUP($A17,Dataset!$A:$X,MATCH(D$5,Dataset!$A$1:$X$1,0),0)</f>
        <v>57</v>
      </c>
      <c r="E17" s="11">
        <f>VLOOKUP($A17,Dataset!$A:$X,MATCH(E$5,Dataset!$A$1:$X$1,0),0)</f>
        <v>115.1</v>
      </c>
      <c r="F17" s="11">
        <f>VLOOKUP($A17,Dataset!$A:$X,MATCH(F$5,Dataset!$A$1:$X$1,0),0)</f>
        <v>57</v>
      </c>
    </row>
    <row r="18" spans="1:6" ht="14.5" x14ac:dyDescent="0.35">
      <c r="A18" s="7" t="s">
        <v>23</v>
      </c>
      <c r="B18" s="11">
        <f>VLOOKUP($A18,Dataset!$A:$X,MATCH(B$5,Dataset!$A$1:$X$1,0),0)</f>
        <v>33.799999999999997</v>
      </c>
      <c r="C18" s="11">
        <f>VLOOKUP($A18,Dataset!$A:$X,MATCH(C$5,Dataset!$A$1:$X$1,0),0)</f>
        <v>101.3</v>
      </c>
      <c r="D18" s="11">
        <f>VLOOKUP($A18,Dataset!$A:$X,MATCH(D$5,Dataset!$A$1:$X$1,0),0)</f>
        <v>61.4</v>
      </c>
      <c r="E18" s="11">
        <f>VLOOKUP($A18,Dataset!$A:$X,MATCH(E$5,Dataset!$A$1:$X$1,0),0)</f>
        <v>124.4</v>
      </c>
      <c r="F18" s="11">
        <f>VLOOKUP($A18,Dataset!$A:$X,MATCH(F$5,Dataset!$A$1:$X$1,0),0)</f>
        <v>61.4</v>
      </c>
    </row>
    <row r="19" spans="1:6" ht="14.5" x14ac:dyDescent="0.35">
      <c r="A19" s="7" t="s">
        <v>24</v>
      </c>
      <c r="B19" s="11">
        <f>VLOOKUP($A19,Dataset!$A:$X,MATCH(B$5,Dataset!$A$1:$X$1,0),0)</f>
        <v>34.700000000000003</v>
      </c>
      <c r="C19" s="11">
        <f>VLOOKUP($A19,Dataset!$A:$X,MATCH(C$5,Dataset!$A$1:$X$1,0),0)</f>
        <v>106.1</v>
      </c>
      <c r="D19" s="11">
        <f>VLOOKUP($A19,Dataset!$A:$X,MATCH(D$5,Dataset!$A$1:$X$1,0),0)</f>
        <v>63.6</v>
      </c>
      <c r="E19" s="11">
        <f>VLOOKUP($A19,Dataset!$A:$X,MATCH(E$5,Dataset!$A$1:$X$1,0),0)</f>
        <v>128.6</v>
      </c>
      <c r="F19" s="11">
        <f>VLOOKUP($A19,Dataset!$A:$X,MATCH(F$5,Dataset!$A$1:$X$1,0),0)</f>
        <v>63.6</v>
      </c>
    </row>
    <row r="20" spans="1:6" ht="14.5" x14ac:dyDescent="0.35">
      <c r="A20" s="7" t="s">
        <v>28</v>
      </c>
      <c r="B20" s="11">
        <f>VLOOKUP($A20,Dataset!$A:$X,MATCH(B$5,Dataset!$A$1:$X$1,0),0)</f>
        <v>0</v>
      </c>
      <c r="C20" s="11">
        <f>VLOOKUP($A20,Dataset!$A:$X,MATCH(C$5,Dataset!$A$1:$X$1,0),0)</f>
        <v>0</v>
      </c>
      <c r="D20" s="11">
        <f>VLOOKUP($A20,Dataset!$A:$X,MATCH(D$5,Dataset!$A$1:$X$1,0),0)</f>
        <v>0</v>
      </c>
      <c r="E20" s="11">
        <f>VLOOKUP($A20,Dataset!$A:$X,MATCH(E$5,Dataset!$A$1:$X$1,0),0)</f>
        <v>0</v>
      </c>
      <c r="F20" s="11">
        <f>VLOOKUP($A20,Dataset!$A:$X,MATCH(F$5,Dataset!$A$1:$X$1,0),0)</f>
        <v>0</v>
      </c>
    </row>
    <row r="21" spans="1:6" ht="14.5" x14ac:dyDescent="0.35">
      <c r="A21" s="7" t="s">
        <v>57</v>
      </c>
      <c r="B21" s="11">
        <f>VLOOKUP($A21,Dataset!$A:$X,MATCH(B$5,Dataset!$A$1:$X$1,0),0)</f>
        <v>41.3</v>
      </c>
      <c r="C21" s="11">
        <f>VLOOKUP($A21,Dataset!$A:$X,MATCH(C$5,Dataset!$A$1:$X$1,0),0)</f>
        <v>124.4</v>
      </c>
      <c r="D21" s="11">
        <f>VLOOKUP($A21,Dataset!$A:$X,MATCH(D$5,Dataset!$A$1:$X$1,0),0)</f>
        <v>75</v>
      </c>
      <c r="E21" s="11">
        <f>VLOOKUP($A21,Dataset!$A:$X,MATCH(E$5,Dataset!$A$1:$X$1,0),0)</f>
        <v>151.5</v>
      </c>
      <c r="F21" s="11">
        <f>VLOOKUP($A21,Dataset!$A:$X,MATCH(F$5,Dataset!$A$1:$X$1,0),0)</f>
        <v>75</v>
      </c>
    </row>
    <row r="22" spans="1:6" ht="14.5" x14ac:dyDescent="0.35">
      <c r="A22" s="7" t="s">
        <v>58</v>
      </c>
      <c r="B22" s="11">
        <f>VLOOKUP($A22,Dataset!$A:$X,MATCH(B$5,Dataset!$A$1:$X$1,0),0)</f>
        <v>-1</v>
      </c>
      <c r="C22" s="11">
        <f>VLOOKUP($A22,Dataset!$A:$X,MATCH(C$5,Dataset!$A$1:$X$1,0),0)</f>
        <v>-1</v>
      </c>
      <c r="D22" s="11">
        <f>VLOOKUP($A22,Dataset!$A:$X,MATCH(D$5,Dataset!$A$1:$X$1,0),0)</f>
        <v>-1</v>
      </c>
      <c r="E22" s="11">
        <f>VLOOKUP($A22,Dataset!$A:$X,MATCH(E$5,Dataset!$A$1:$X$1,0),0)</f>
        <v>-1</v>
      </c>
      <c r="F22" s="11">
        <f>VLOOKUP($A22,Dataset!$A:$X,MATCH(F$5,Dataset!$A$1:$X$1,0),0)</f>
        <v>-1</v>
      </c>
    </row>
    <row r="23" spans="1:6" ht="14.5" x14ac:dyDescent="0.35">
      <c r="A23" s="7" t="s">
        <v>31</v>
      </c>
      <c r="B23" s="11">
        <f>VLOOKUP($A23,Dataset!$A:$X,MATCH(B$5,Dataset!$A$1:$X$1,0),0)</f>
        <v>45</v>
      </c>
      <c r="C23" s="11">
        <f>VLOOKUP($A23,Dataset!$A:$X,MATCH(C$5,Dataset!$A$1:$X$1,0),0)</f>
        <v>133.4</v>
      </c>
      <c r="D23" s="11">
        <f>VLOOKUP($A23,Dataset!$A:$X,MATCH(D$5,Dataset!$A$1:$X$1,0),0)</f>
        <v>79.400000000000006</v>
      </c>
      <c r="E23" s="11">
        <f>VLOOKUP($A23,Dataset!$A:$X,MATCH(E$5,Dataset!$A$1:$X$1,0),0)</f>
        <v>160.9</v>
      </c>
      <c r="F23" s="11">
        <f>VLOOKUP($A23,Dataset!$A:$X,MATCH(F$5,Dataset!$A$1:$X$1,0),0)</f>
        <v>79.400000000000006</v>
      </c>
    </row>
    <row r="24" spans="1:6" ht="14.5" x14ac:dyDescent="0.35">
      <c r="A24" s="7" t="s">
        <v>32</v>
      </c>
      <c r="B24" s="11">
        <f>VLOOKUP($A24,Dataset!$A:$X,MATCH(B$5,Dataset!$A$1:$X$1,0),0)</f>
        <v>-1</v>
      </c>
      <c r="C24" s="11">
        <f>VLOOKUP($A24,Dataset!$A:$X,MATCH(C$5,Dataset!$A$1:$X$1,0),0)</f>
        <v>-1</v>
      </c>
      <c r="D24" s="11">
        <f>VLOOKUP($A24,Dataset!$A:$X,MATCH(D$5,Dataset!$A$1:$X$1,0),0)</f>
        <v>-1</v>
      </c>
      <c r="E24" s="11">
        <f>VLOOKUP($A24,Dataset!$A:$X,MATCH(E$5,Dataset!$A$1:$X$1,0),0)</f>
        <v>-1</v>
      </c>
      <c r="F24" s="11">
        <f>VLOOKUP($A24,Dataset!$A:$X,MATCH(F$5,Dataset!$A$1:$X$1,0),0)</f>
        <v>-1</v>
      </c>
    </row>
    <row r="25" spans="1:6" ht="14.5" x14ac:dyDescent="0.35">
      <c r="A25" s="7" t="s">
        <v>34</v>
      </c>
      <c r="B25" s="11">
        <f>VLOOKUP($A25,Dataset!$A:$X,MATCH(B$5,Dataset!$A$1:$X$1,0),0)</f>
        <v>43.3</v>
      </c>
      <c r="C25" s="11">
        <f>VLOOKUP($A25,Dataset!$A:$X,MATCH(C$5,Dataset!$A$1:$X$1,0),0)</f>
        <v>128.6</v>
      </c>
      <c r="D25" s="11">
        <f>VLOOKUP($A25,Dataset!$A:$X,MATCH(D$5,Dataset!$A$1:$X$1,0),0)</f>
        <v>79.400000000000006</v>
      </c>
      <c r="E25" s="11">
        <f>VLOOKUP($A25,Dataset!$A:$X,MATCH(E$5,Dataset!$A$1:$X$1,0),0)</f>
        <v>160.9</v>
      </c>
      <c r="F25" s="11">
        <f>VLOOKUP($A25,Dataset!$A:$X,MATCH(F$5,Dataset!$A$1:$X$1,0),0)</f>
        <v>79.400000000000006</v>
      </c>
    </row>
    <row r="26" spans="1:6" ht="14.5" x14ac:dyDescent="0.35">
      <c r="A26" s="7" t="s">
        <v>37</v>
      </c>
      <c r="B26" s="11">
        <f>VLOOKUP($A26,Dataset!$A:$X,MATCH(B$5,Dataset!$A$1:$X$1,0),0)</f>
        <v>49.1</v>
      </c>
      <c r="C26" s="11">
        <f>VLOOKUP($A26,Dataset!$A:$X,MATCH(C$5,Dataset!$A$1:$X$1,0),0)</f>
        <v>146.80000000000001</v>
      </c>
      <c r="D26" s="11">
        <f>VLOOKUP($A26,Dataset!$A:$X,MATCH(D$5,Dataset!$A$1:$X$1,0),0)</f>
        <v>90.9</v>
      </c>
      <c r="E26" s="11">
        <f>VLOOKUP($A26,Dataset!$A:$X,MATCH(E$5,Dataset!$A$1:$X$1,0),0)</f>
        <v>183.5</v>
      </c>
      <c r="F26" s="11">
        <f>VLOOKUP($A26,Dataset!$A:$X,MATCH(F$5,Dataset!$A$1:$X$1,0),0)</f>
        <v>90.9</v>
      </c>
    </row>
    <row r="27" spans="1:6" ht="14.5" x14ac:dyDescent="0.35">
      <c r="A27" s="7" t="s">
        <v>39</v>
      </c>
      <c r="B27" s="11">
        <f>VLOOKUP($A27,Dataset!$A:$X,MATCH(B$5,Dataset!$A$1:$X$1,0),0)</f>
        <v>51.8</v>
      </c>
      <c r="C27" s="11">
        <f>VLOOKUP($A27,Dataset!$A:$X,MATCH(C$5,Dataset!$A$1:$X$1,0),0)</f>
        <v>156.4</v>
      </c>
      <c r="D27" s="11">
        <f>VLOOKUP($A27,Dataset!$A:$X,MATCH(D$5,Dataset!$A$1:$X$1,0),0)</f>
        <v>93.1</v>
      </c>
      <c r="E27" s="11">
        <f>VLOOKUP($A27,Dataset!$A:$X,MATCH(E$5,Dataset!$A$1:$X$1,0),0)</f>
        <v>188.1</v>
      </c>
      <c r="F27" s="11">
        <f>VLOOKUP($A27,Dataset!$A:$X,MATCH(F$5,Dataset!$A$1:$X$1,0),0)</f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H14" sqref="H1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178</v>
      </c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H16" s="47" t="s">
        <v>178</v>
      </c>
      <c r="I16" s="47"/>
      <c r="J16" s="47"/>
    </row>
    <row r="17" spans="1:10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  <c r="H17" s="47"/>
      <c r="I17" s="47"/>
      <c r="J17" s="47"/>
    </row>
    <row r="18" spans="1:10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  <c r="H18" s="47"/>
      <c r="I18" s="47"/>
      <c r="J18" s="47"/>
    </row>
    <row r="19" spans="1:10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  <c r="H19" s="47"/>
      <c r="I19" s="47"/>
      <c r="J19" s="47"/>
    </row>
    <row r="20" spans="1:10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10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10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10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10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10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10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10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10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10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10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10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10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1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1">
    <mergeCell ref="H16:J19"/>
  </mergeCells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K22"/>
  <sheetViews>
    <sheetView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3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1" ht="21" x14ac:dyDescent="0.5">
      <c r="A1" s="41" t="s">
        <v>85</v>
      </c>
      <c r="B1" s="40" t="s">
        <v>167</v>
      </c>
    </row>
    <row r="2" spans="1:11" ht="18.5" x14ac:dyDescent="0.45">
      <c r="B2" s="39" t="s">
        <v>166</v>
      </c>
    </row>
    <row r="5" spans="1:11" ht="15" thickBot="1" x14ac:dyDescent="0.4">
      <c r="B5" s="1" t="s">
        <v>151</v>
      </c>
    </row>
    <row r="6" spans="1:11" ht="15" thickBot="1" x14ac:dyDescent="0.4">
      <c r="A6" s="3" t="s">
        <v>53</v>
      </c>
      <c r="B6" s="49" t="s">
        <v>179</v>
      </c>
      <c r="C6" s="49" t="s">
        <v>180</v>
      </c>
    </row>
    <row r="7" spans="1:11" ht="14.5" x14ac:dyDescent="0.35">
      <c r="A7" s="3" t="s">
        <v>153</v>
      </c>
      <c r="B7" s="48" t="s">
        <v>181</v>
      </c>
      <c r="C7" s="48"/>
      <c r="D7" s="48"/>
      <c r="E7" s="48"/>
      <c r="F7" s="48"/>
      <c r="G7" s="48"/>
      <c r="H7" s="48"/>
      <c r="I7" s="48"/>
      <c r="J7" s="48"/>
      <c r="K7" s="48"/>
    </row>
    <row r="10" spans="1:11" ht="23.5" x14ac:dyDescent="0.55000000000000004">
      <c r="A10" s="17" t="s">
        <v>162</v>
      </c>
    </row>
    <row r="11" spans="1:11" ht="14.5" x14ac:dyDescent="0.35">
      <c r="A11" s="31" t="s">
        <v>86</v>
      </c>
      <c r="B11" s="16" t="s">
        <v>87</v>
      </c>
      <c r="C11" s="16" t="s">
        <v>88</v>
      </c>
    </row>
    <row r="12" spans="1:11" ht="14.5" x14ac:dyDescent="0.35">
      <c r="A12" s="31">
        <v>44927</v>
      </c>
      <c r="B12" s="16" t="s">
        <v>59</v>
      </c>
      <c r="C12" s="16">
        <v>200</v>
      </c>
      <c r="D12" s="2">
        <f>IF(ISNA(C12),20,C12)</f>
        <v>200</v>
      </c>
    </row>
    <row r="13" spans="1:11" ht="14.5" x14ac:dyDescent="0.35">
      <c r="A13" s="31">
        <v>44928</v>
      </c>
      <c r="B13" s="16" t="s">
        <v>60</v>
      </c>
      <c r="C13" s="16" t="e">
        <v>#N/A</v>
      </c>
      <c r="D13" s="2">
        <f t="shared" ref="D13:D22" si="0">IF(ISNA(C13),20,C13)</f>
        <v>20</v>
      </c>
    </row>
    <row r="14" spans="1:11" ht="14.5" x14ac:dyDescent="0.35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11" ht="14.5" x14ac:dyDescent="0.35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11" ht="14.5" x14ac:dyDescent="0.35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5" x14ac:dyDescent="0.3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5" x14ac:dyDescent="0.3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5" x14ac:dyDescent="0.35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5" x14ac:dyDescent="0.3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5" x14ac:dyDescent="0.35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5" x14ac:dyDescent="0.35">
      <c r="B22" s="16" t="s">
        <v>159</v>
      </c>
      <c r="C22" s="24">
        <f>SUM(D12:D21)</f>
        <v>600</v>
      </c>
    </row>
  </sheetData>
  <mergeCells count="1">
    <mergeCell ref="B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60" zoomScaleNormal="100" workbookViewId="0">
      <selection activeCell="B5" sqref="B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50" t="s">
        <v>182</v>
      </c>
      <c r="D4" s="50"/>
      <c r="E4" s="50"/>
      <c r="F4" s="50"/>
      <c r="G4" s="50"/>
      <c r="H4" s="50"/>
      <c r="I4" s="50"/>
      <c r="J4" s="50"/>
      <c r="K4" s="50"/>
      <c r="L4" s="50"/>
    </row>
    <row r="5" spans="1:14" ht="18.5" x14ac:dyDescent="0.45">
      <c r="A5" s="42" t="s">
        <v>153</v>
      </c>
      <c r="B5" s="1" t="s">
        <v>183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INDEX($A$9:$J$18,MATCH(VLOOKUP(A23,$M$9:$N$18,2,0),$A$9:$A$18,0),MATCH(VLOOKUP(B23,$M$9:$N$18,2,0),$A$9:$J$9,0))</f>
        <v>95</v>
      </c>
      <c r="F23" s="2" t="str">
        <f>VLOOKUP(A23,$M$9:$N$18,2,0)</f>
        <v>A</v>
      </c>
      <c r="G23" s="2" t="str">
        <f>VLOOKUP(B23,$M$9:$N$18,2,0)</f>
        <v>B</v>
      </c>
    </row>
    <row r="24" spans="1:14" ht="14.5" x14ac:dyDescent="0.35">
      <c r="A24" s="7">
        <v>10100</v>
      </c>
      <c r="B24" s="11">
        <v>10104</v>
      </c>
      <c r="C24" s="43">
        <f t="shared" ref="C24:C35" si="0">INDEX($A$9:$J$18,MATCH(VLOOKUP(A24,$M$9:$N$18,2,0),$A$9:$A$18,0),MATCH(VLOOKUP(B24,$M$9:$N$18,2,0),$A$9:$J$9,0))</f>
        <v>-1</v>
      </c>
      <c r="F24" s="2" t="str">
        <f t="shared" ref="F24:F35" si="1">VLOOKUP(A24,$M$9:$N$18,2,0)</f>
        <v>A</v>
      </c>
      <c r="G24" s="2" t="str">
        <f t="shared" ref="G24:G35" si="2">VLOOKUP(B24,$M$9:$N$18,2,0)</f>
        <v>C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  <c r="F25" s="2" t="str">
        <f t="shared" si="1"/>
        <v>E</v>
      </c>
      <c r="G25" s="2" t="str">
        <f t="shared" si="2"/>
        <v>B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  <c r="F26" s="2" t="str">
        <f t="shared" si="1"/>
        <v>A</v>
      </c>
      <c r="G26" s="2" t="str">
        <f t="shared" si="2"/>
        <v>D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  <c r="F27" s="2" t="str">
        <f t="shared" si="1"/>
        <v>E</v>
      </c>
      <c r="G27" s="2" t="str">
        <f t="shared" si="2"/>
        <v>F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  <c r="F28" s="2" t="str">
        <f t="shared" si="1"/>
        <v>B</v>
      </c>
      <c r="G28" s="2" t="str">
        <f t="shared" si="2"/>
        <v>C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  <c r="F29" s="2" t="str">
        <f t="shared" si="1"/>
        <v>D</v>
      </c>
      <c r="G29" s="2" t="str">
        <f t="shared" si="2"/>
        <v>E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  <c r="F30" s="2" t="str">
        <f t="shared" si="1"/>
        <v>B</v>
      </c>
      <c r="G30" s="2" t="str">
        <f t="shared" si="2"/>
        <v>D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  <c r="F31" s="2" t="str">
        <f t="shared" si="1"/>
        <v>F</v>
      </c>
      <c r="G31" s="2" t="str">
        <f t="shared" si="2"/>
        <v>H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  <c r="F32" s="2" t="str">
        <f t="shared" si="1"/>
        <v>C</v>
      </c>
      <c r="G32" s="2" t="str">
        <f t="shared" si="2"/>
        <v>D</v>
      </c>
    </row>
    <row r="33" spans="1:7" ht="14.5" x14ac:dyDescent="0.35">
      <c r="A33" s="7">
        <v>10110</v>
      </c>
      <c r="B33" s="11">
        <v>10112</v>
      </c>
      <c r="C33" s="43">
        <f t="shared" si="0"/>
        <v>115</v>
      </c>
      <c r="F33" s="2" t="str">
        <f t="shared" si="1"/>
        <v>F</v>
      </c>
      <c r="G33" s="2" t="str">
        <f t="shared" si="2"/>
        <v>G</v>
      </c>
    </row>
    <row r="34" spans="1:7" ht="14.5" x14ac:dyDescent="0.35">
      <c r="A34" s="7">
        <v>10100</v>
      </c>
      <c r="B34" s="11">
        <v>10114</v>
      </c>
      <c r="C34" s="43">
        <f t="shared" si="0"/>
        <v>480</v>
      </c>
      <c r="F34" s="2" t="str">
        <f t="shared" si="1"/>
        <v>A</v>
      </c>
      <c r="G34" s="2" t="str">
        <f t="shared" si="2"/>
        <v>H</v>
      </c>
    </row>
    <row r="35" spans="1:7" ht="14.5" x14ac:dyDescent="0.35">
      <c r="A35" s="8">
        <v>10112</v>
      </c>
      <c r="B35" s="12">
        <v>10116</v>
      </c>
      <c r="C35" s="43">
        <f t="shared" si="0"/>
        <v>105</v>
      </c>
      <c r="F35" s="2" t="str">
        <f t="shared" si="1"/>
        <v>G</v>
      </c>
      <c r="G35" s="2" t="str">
        <f t="shared" si="2"/>
        <v>I</v>
      </c>
    </row>
  </sheetData>
  <mergeCells count="1">
    <mergeCell ref="C4:L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TASK1 ANS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sourabh chouhan</cp:lastModifiedBy>
  <dcterms:created xsi:type="dcterms:W3CDTF">2015-02-10T17:33:11Z</dcterms:created>
  <dcterms:modified xsi:type="dcterms:W3CDTF">2023-12-09T08:20:12Z</dcterms:modified>
</cp:coreProperties>
</file>